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www\databases\DIOtasks\Excel com Santander\"/>
    </mc:Choice>
  </mc:AlternateContent>
  <xr:revisionPtr revIDLastSave="0" documentId="13_ncr:1_{99C2DC1B-F02F-42EC-8789-22542C315EB8}" xr6:coauthVersionLast="47" xr6:coauthVersionMax="47" xr10:uidLastSave="{00000000-0000-0000-0000-000000000000}"/>
  <bookViews>
    <workbookView xWindow="-120" yWindow="-120" windowWidth="29040" windowHeight="15720" tabRatio="0" xr2:uid="{00000000-000D-0000-FFFF-FFFF00000000}"/>
  </bookViews>
  <sheets>
    <sheet name="Plan1" sheetId="1" r:id="rId1"/>
    <sheet name="Planilha1" sheetId="2" state="hidden" r:id="rId2"/>
  </sheets>
  <definedNames>
    <definedName name="_xlchart.v1.0" hidden="1">Plan1!$B$36:$B$41</definedName>
    <definedName name="_xlchart.v1.1" hidden="1">Plan1!$B$36:$B$42</definedName>
    <definedName name="_xlchart.v1.2" hidden="1">Plan1!$B$37:$B$42</definedName>
    <definedName name="_xlchart.v1.3" hidden="1">Plan1!$C$35</definedName>
    <definedName name="_xlchart.v1.4" hidden="1">Plan1!$C$36:$C$41</definedName>
    <definedName name="_xlchart.v1.5" hidden="1">Plan1!$C$36:$C$42</definedName>
    <definedName name="_xlchart.v1.6" hidden="1">Plan1!$C$37:$C$42</definedName>
    <definedName name="_xlchart.v1.7" hidden="1">Plan1!$B$36:$B$41</definedName>
    <definedName name="_xlchart.v1.8" hidden="1">Plan1!$C$35</definedName>
    <definedName name="_xlchart.v1.9" hidden="1">Plan1!$C$36:$C$41</definedName>
    <definedName name="aporte">Plan1!$C$17</definedName>
    <definedName name="patrimonio">Plan1!$C$20</definedName>
    <definedName name="qtde_anos">Plan1!$C$18</definedName>
    <definedName name="rendimento_carteira">Plan1!$C$13</definedName>
    <definedName name="salario">Plan1!$C$12</definedName>
    <definedName name="sugestao_investismento">Plan1!$C$14</definedName>
    <definedName name="taxa_mensal">Plan1!$C$19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0" i="1"/>
  <c r="C37" i="1" l="1"/>
  <c r="C38" i="1"/>
  <c r="C39" i="1"/>
  <c r="C40" i="1"/>
  <c r="C41" i="1"/>
  <c r="C36" i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4" i="2"/>
  <c r="C33" i="1"/>
  <c r="C14" i="1"/>
  <c r="C27" i="1"/>
  <c r="D27" i="1" s="1"/>
  <c r="C25" i="1"/>
  <c r="D25" i="1" s="1"/>
  <c r="C26" i="1"/>
  <c r="D26" i="1" s="1"/>
  <c r="D28" i="1"/>
  <c r="C24" i="1"/>
  <c r="D24" i="1" s="1"/>
  <c r="C21" i="1"/>
  <c r="D41" i="1" l="1"/>
  <c r="D40" i="1"/>
  <c r="D39" i="1"/>
  <c r="D38" i="1"/>
  <c r="D36" i="1"/>
  <c r="D37" i="1"/>
  <c r="D42" i="1" l="1"/>
</calcChain>
</file>

<file path=xl/sharedStrings.xml><?xml version="1.0" encoding="utf-8"?>
<sst xmlns="http://schemas.openxmlformats.org/spreadsheetml/2006/main" count="70" uniqueCount="34">
  <si>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</si>
  <si>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</si>
  <si>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</si>
  <si>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</si>
  <si>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</si>
  <si>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</si>
  <si>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</si>
  <si>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</si>
  <si>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</si>
  <si>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</si>
  <si>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</si>
  <si>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</si>
  <si>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</si>
  <si>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</si>
  <si>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Salário</t>
  </si>
  <si>
    <t>Rendimento Carteira</t>
  </si>
  <si>
    <t>Perfil</t>
  </si>
  <si>
    <t>Valor a ser investido por mês</t>
  </si>
  <si>
    <t>TIPO DE FII</t>
  </si>
  <si>
    <t>% sugerido</t>
  </si>
  <si>
    <t>Valores</t>
  </si>
  <si>
    <t>PAPEL</t>
  </si>
  <si>
    <t>TIJOLO</t>
  </si>
  <si>
    <t>HÍBRIDOS</t>
  </si>
  <si>
    <t>FOFs</t>
  </si>
  <si>
    <t>DESENVOLVIMENTO</t>
  </si>
  <si>
    <t>HOTELARIA</t>
  </si>
  <si>
    <t>Conservador</t>
  </si>
  <si>
    <t>Moderado</t>
  </si>
  <si>
    <t>Agressivo</t>
  </si>
  <si>
    <t>CHAVE</t>
  </si>
  <si>
    <t>PERFIL</t>
  </si>
  <si>
    <t>Sugestão de Investimento (30%)</t>
  </si>
  <si>
    <t>Patrimônio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</si>
</sst>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4.9989318521683403E-2"/>
      </bottom>
      <diagonal/>
    </border>
    <border>
      <left/>
      <right/>
      <top style="medium">
        <color indexed="64"/>
      </top>
      <bottom style="thin">
        <color theme="0" tint="-4.9989318521683403E-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3" borderId="2" applyNumberFormat="0" applyAlignment="0" applyProtection="0"/>
  </cellStyleXfs>
  <cellXfs count="46">
    <xf numFmtId="0" fontId="0" fillId="0" borderId="0" xfId="0"/>
    <xf numFmtId="0" fontId="6" fillId="0" borderId="0" xfId="0" applyFont="1"/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8" fillId="4" borderId="20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/>
    </xf>
    <xf numFmtId="8" fontId="5" fillId="7" borderId="9" xfId="0" applyNumberFormat="1" applyFont="1" applyFill="1" applyBorder="1" applyAlignment="1">
      <alignment horizontal="center" vertical="center"/>
    </xf>
    <xf numFmtId="8" fontId="5" fillId="7" borderId="11" xfId="0" applyNumberFormat="1" applyFont="1" applyFill="1" applyBorder="1" applyAlignment="1">
      <alignment horizontal="center" vertical="center"/>
    </xf>
    <xf numFmtId="8" fontId="0" fillId="7" borderId="13" xfId="0" applyNumberFormat="1" applyFill="1" applyBorder="1"/>
    <xf numFmtId="8" fontId="0" fillId="7" borderId="14" xfId="0" applyNumberFormat="1" applyFill="1" applyBorder="1"/>
    <xf numFmtId="8" fontId="0" fillId="7" borderId="16" xfId="0" applyNumberFormat="1" applyFill="1" applyBorder="1"/>
    <xf numFmtId="8" fontId="0" fillId="7" borderId="17" xfId="0" applyNumberFormat="1" applyFill="1" applyBorder="1"/>
    <xf numFmtId="0" fontId="10" fillId="7" borderId="23" xfId="0" applyFont="1" applyFill="1" applyBorder="1" applyAlignment="1">
      <alignment vertical="center"/>
    </xf>
    <xf numFmtId="0" fontId="10" fillId="7" borderId="25" xfId="0" applyFont="1" applyFill="1" applyBorder="1" applyAlignment="1">
      <alignment vertical="center"/>
    </xf>
    <xf numFmtId="0" fontId="10" fillId="0" borderId="6" xfId="0" applyFont="1" applyBorder="1"/>
    <xf numFmtId="0" fontId="10" fillId="0" borderId="8" xfId="0" applyFont="1" applyBorder="1"/>
    <xf numFmtId="0" fontId="11" fillId="7" borderId="8" xfId="0" applyFont="1" applyFill="1" applyBorder="1"/>
    <xf numFmtId="0" fontId="11" fillId="7" borderId="10" xfId="0" applyFont="1" applyFill="1" applyBorder="1"/>
    <xf numFmtId="0" fontId="10" fillId="7" borderId="12" xfId="0" applyFont="1" applyFill="1" applyBorder="1"/>
    <xf numFmtId="0" fontId="10" fillId="7" borderId="15" xfId="0" applyFont="1" applyFill="1" applyBorder="1"/>
    <xf numFmtId="166" fontId="0" fillId="7" borderId="26" xfId="0" applyNumberFormat="1" applyFill="1" applyBorder="1" applyAlignment="1">
      <alignment horizontal="center" vertical="center"/>
    </xf>
    <xf numFmtId="0" fontId="3" fillId="2" borderId="0" xfId="4"/>
    <xf numFmtId="0" fontId="5" fillId="5" borderId="0" xfId="0" applyFont="1" applyFill="1" applyAlignment="1">
      <alignment horizontal="center" vertical="center"/>
    </xf>
    <xf numFmtId="166" fontId="5" fillId="5" borderId="0" xfId="0" applyNumberFormat="1" applyFont="1" applyFill="1" applyAlignment="1">
      <alignment horizontal="center" vertical="center"/>
    </xf>
    <xf numFmtId="0" fontId="5" fillId="7" borderId="0" xfId="0" applyFont="1" applyFill="1"/>
    <xf numFmtId="0" fontId="0" fillId="7" borderId="0" xfId="0" applyFill="1"/>
    <xf numFmtId="166" fontId="5" fillId="7" borderId="0" xfId="0" applyNumberFormat="1" applyFont="1" applyFill="1" applyAlignment="1">
      <alignment horizontal="left"/>
    </xf>
    <xf numFmtId="166" fontId="0" fillId="7" borderId="0" xfId="0" applyNumberFormat="1" applyFill="1" applyAlignment="1">
      <alignment horizontal="center" vertical="center"/>
    </xf>
    <xf numFmtId="9" fontId="0" fillId="0" borderId="0" xfId="2" applyFont="1"/>
    <xf numFmtId="0" fontId="0" fillId="0" borderId="27" xfId="0" applyBorder="1"/>
    <xf numFmtId="9" fontId="0" fillId="0" borderId="27" xfId="2" applyFont="1" applyBorder="1"/>
    <xf numFmtId="0" fontId="4" fillId="3" borderId="2" xfId="5"/>
    <xf numFmtId="0" fontId="8" fillId="4" borderId="3" xfId="0" applyFont="1" applyFill="1" applyBorder="1" applyAlignment="1">
      <alignment horizontal="center"/>
    </xf>
    <xf numFmtId="0" fontId="0" fillId="8" borderId="0" xfId="0" applyFill="1"/>
    <xf numFmtId="0" fontId="2" fillId="8" borderId="1" xfId="3" applyFill="1"/>
    <xf numFmtId="166" fontId="0" fillId="0" borderId="24" xfId="0" applyNumberFormat="1" applyBorder="1" applyAlignment="1" applyProtection="1">
      <alignment horizontal="center" vertical="center"/>
      <protection locked="0"/>
    </xf>
    <xf numFmtId="10" fontId="0" fillId="0" borderId="24" xfId="0" applyNumberFormat="1" applyBorder="1" applyAlignment="1" applyProtection="1">
      <alignment horizontal="center" vertical="center"/>
      <protection locked="0"/>
    </xf>
    <xf numFmtId="166" fontId="5" fillId="0" borderId="7" xfId="1" applyNumberFormat="1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10" fontId="5" fillId="0" borderId="9" xfId="2" applyNumberFormat="1" applyFont="1" applyBorder="1" applyAlignment="1" applyProtection="1">
      <alignment horizontal="center" vertical="center"/>
      <protection locked="0"/>
    </xf>
    <xf numFmtId="0" fontId="3" fillId="2" borderId="0" xfId="4" applyAlignment="1" applyProtection="1">
      <alignment horizontal="left"/>
      <protection locked="0"/>
    </xf>
  </cellXfs>
  <cellStyles count="6">
    <cellStyle name="Moeda" xfId="1" builtinId="4"/>
    <cellStyle name="Neutro" xfId="4" builtinId="28"/>
    <cellStyle name="Normal" xfId="0" builtinId="0"/>
    <cellStyle name="Porcentagem" xfId="2" builtinId="5"/>
    <cellStyle name="Saída" xfId="5" builtinId="21"/>
    <cellStyle name="Título 3" xfId="3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652144784697611E-2"/>
          <c:y val="9.1710758377425039E-2"/>
          <c:w val="0.88348434822359345"/>
          <c:h val="0.75874237942479417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accent5">
                <a:lumMod val="75000"/>
                <a:alpha val="93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dLbl>
              <c:idx val="0"/>
              <c:layout>
                <c:manualLayout>
                  <c:x val="0"/>
                  <c:y val="-0.1249154966740269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93122462827369"/>
                      <c:h val="0.176155202821869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825-42EC-8036-C854DB0D74AA}"/>
                </c:ext>
              </c:extLst>
            </c:dLbl>
            <c:dLbl>
              <c:idx val="1"/>
              <c:layout>
                <c:manualLayout>
                  <c:x val="3.0974143862797933E-2"/>
                  <c:y val="-0.234517907483786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07644164530784"/>
                      <c:h val="0.176155202821869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B825-42EC-8036-C854DB0D74AA}"/>
                </c:ext>
              </c:extLst>
            </c:dLbl>
            <c:dLbl>
              <c:idx val="2"/>
              <c:layout>
                <c:manualLayout>
                  <c:x val="-3.2533070527235648E-2"/>
                  <c:y val="-0.3100509658514907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6314484863889366"/>
                      <c:h val="0.211323029065811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825-42EC-8036-C854DB0D74AA}"/>
                </c:ext>
              </c:extLst>
            </c:dLbl>
            <c:dLbl>
              <c:idx val="3"/>
              <c:layout>
                <c:manualLayout>
                  <c:x val="-9.7698622781102265E-2"/>
                  <c:y val="-0.392452887833465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237504862192149"/>
                      <c:h val="0.134790823211875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B825-42EC-8036-C854DB0D74AA}"/>
                </c:ext>
              </c:extLst>
            </c:dLbl>
            <c:dLbl>
              <c:idx val="4"/>
              <c:layout>
                <c:manualLayout>
                  <c:x val="-0.14454904035768246"/>
                  <c:y val="-0.350077576335346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130516570834022"/>
                      <c:h val="0.134790928911663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825-42EC-8036-C854DB0D74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Plan1!$A$24:$A$28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Plan1!$C$24:$C$28</c:f>
              <c:numCache>
                <c:formatCode>"R$"#,##0.00_);[Red]\("R$"#,##0.00\)</c:formatCode>
                <c:ptCount val="5"/>
                <c:pt idx="0">
                  <c:v>6806.9068244113041</c:v>
                </c:pt>
                <c:pt idx="1">
                  <c:v>20944.22849962191</c:v>
                </c:pt>
                <c:pt idx="2">
                  <c:v>60821.053132543049</c:v>
                </c:pt>
                <c:pt idx="3">
                  <c:v>281299.60002427013</c:v>
                </c:pt>
                <c:pt idx="4">
                  <c:v>1080542.4137511787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5-42EC-8036-C854DB0D74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65460112"/>
        <c:axId val="1365460592"/>
      </c:areaChart>
      <c:catAx>
        <c:axId val="136546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5460592"/>
        <c:crosses val="autoZero"/>
        <c:auto val="1"/>
        <c:lblAlgn val="ctr"/>
        <c:lblOffset val="100"/>
        <c:noMultiLvlLbl val="0"/>
      </c:catAx>
      <c:valAx>
        <c:axId val="1365460592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36546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95604395604397"/>
                      <c:h val="0.240384987109738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8796-4581-A87B-4C5F2CED7B68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945054945054944"/>
                      <c:h val="0.240384987109738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796-4581-A87B-4C5F2CED7B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Plan1!$B$12:$B$14</c15:sqref>
                  </c15:fullRef>
                </c:ext>
              </c:extLst>
              <c:f>(Plan1!$B$12,Plan1!$B$14)</c:f>
              <c:strCache>
                <c:ptCount val="2"/>
                <c:pt idx="0">
                  <c:v>Salário</c:v>
                </c:pt>
                <c:pt idx="1">
                  <c:v>Sugestão de Investimento (30%)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Plan1!$C$12:$C$14</c15:sqref>
                  </c15:fullRef>
                </c:ext>
              </c:extLst>
              <c:f>(Plan1!$C$12,Plan1!$C$14)</c:f>
              <c:numCache>
                <c:formatCode>0.00%</c:formatCode>
                <c:ptCount val="2"/>
                <c:pt idx="0" formatCode="&quot;R$&quot;\ #,##0.00">
                  <c:v>1000</c:v>
                </c:pt>
                <c:pt idx="1" formatCode="&quot;R$&quot;\ #,##0.0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6-4581-A87B-4C5F2CED7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overlap val="-27"/>
        <c:axId val="1197622880"/>
        <c:axId val="1197624320"/>
      </c:barChart>
      <c:catAx>
        <c:axId val="119762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7624320"/>
        <c:crosses val="autoZero"/>
        <c:auto val="1"/>
        <c:lblAlgn val="ctr"/>
        <c:lblOffset val="100"/>
        <c:noMultiLvlLbl val="0"/>
      </c:catAx>
      <c:valAx>
        <c:axId val="1197624320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19762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905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size">
        <cx:f>_xlchart.v1.5</cx:f>
      </cx:numDim>
    </cx:data>
  </cx:chartData>
  <cx:chart>
    <cx:plotArea>
      <cx:plotAreaRegion>
        <cx:series layoutId="sunburst" uniqueId="{8AF89146-894C-49B9-B458-CF0D5038205B}">
          <cx:tx>
            <cx:txData>
              <cx:f>_xlchart.v1.3</cx:f>
              <cx:v>% sugerido</cx:v>
            </cx:txData>
          </cx:tx>
          <cx:dataLabels>
            <cx:visibility seriesName="0" categoryName="1" value="0"/>
            <cx:separator>, </cx:separator>
          </cx:dataLabels>
          <cx:dataId val="0"/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microsoft.com/office/2014/relationships/chartEx" Target="../charts/chartEx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</xdr:rowOff>
    </xdr:from>
    <xdr:to>
      <xdr:col>4</xdr:col>
      <xdr:colOff>2157075</xdr:colOff>
      <xdr:row>8</xdr:row>
      <xdr:rowOff>190501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E577CB84-A92B-D469-002D-9D9F0C4A2175}"/>
            </a:ext>
          </a:extLst>
        </xdr:cNvPr>
        <xdr:cNvGrpSpPr/>
      </xdr:nvGrpSpPr>
      <xdr:grpSpPr>
        <a:xfrm>
          <a:off x="514350" y="1"/>
          <a:ext cx="6814800" cy="1714500"/>
          <a:chOff x="209550" y="0"/>
          <a:chExt cx="5153025" cy="1924050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924CFD0C-14F0-3CFD-24FD-7DC45CA9DC7E}"/>
              </a:ext>
            </a:extLst>
          </xdr:cNvPr>
          <xdr:cNvSpPr/>
        </xdr:nvSpPr>
        <xdr:spPr>
          <a:xfrm>
            <a:off x="209550" y="266700"/>
            <a:ext cx="5153025" cy="1352550"/>
          </a:xfrm>
          <a:prstGeom prst="roundRect">
            <a:avLst/>
          </a:prstGeom>
          <a:ln>
            <a:noFill/>
          </a:ln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001">
            <a:schemeClr val="dk2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252A6979-2B76-190A-806C-EDFC3B591064}"/>
              </a:ext>
            </a:extLst>
          </xdr:cNvPr>
          <xdr:cNvGrpSpPr/>
        </xdr:nvGrpSpPr>
        <xdr:grpSpPr>
          <a:xfrm>
            <a:off x="400050" y="0"/>
            <a:ext cx="4779150" cy="1924050"/>
            <a:chOff x="400050" y="0"/>
            <a:chExt cx="4779150" cy="1924050"/>
          </a:xfrm>
        </xdr:grpSpPr>
        <xdr:pic>
          <xdr:nvPicPr>
            <xdr:cNvPr id="3" name="Gráfico 2" descr="Uma calculadora">
              <a:extLst>
                <a:ext uri="{FF2B5EF4-FFF2-40B4-BE49-F238E27FC236}">
                  <a16:creationId xmlns:a16="http://schemas.microsoft.com/office/drawing/2014/main" id="{F7533E41-AA5B-32D1-3117-91C2DAF908A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2095501" y="0"/>
              <a:ext cx="1134388" cy="1924050"/>
            </a:xfrm>
            <a:prstGeom prst="rect">
              <a:avLst/>
            </a:prstGeom>
          </xdr:spPr>
        </xdr:pic>
        <xdr:pic>
          <xdr:nvPicPr>
            <xdr:cNvPr id="5" name="Gráfico 4" descr="Filantropia com preenchimento sólido">
              <a:extLst>
                <a:ext uri="{FF2B5EF4-FFF2-40B4-BE49-F238E27FC236}">
                  <a16:creationId xmlns:a16="http://schemas.microsoft.com/office/drawing/2014/main" id="{1DA2D70D-A9E3-7C9D-C380-10EA31439BA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00050" y="504825"/>
              <a:ext cx="914400" cy="914400"/>
            </a:xfrm>
            <a:prstGeom prst="rect">
              <a:avLst/>
            </a:prstGeom>
          </xdr:spPr>
        </xdr:pic>
        <xdr:pic>
          <xdr:nvPicPr>
            <xdr:cNvPr id="7" name="Gráfico 6" descr="Imposto estrutura de tópicos">
              <a:extLst>
                <a:ext uri="{FF2B5EF4-FFF2-40B4-BE49-F238E27FC236}">
                  <a16:creationId xmlns:a16="http://schemas.microsoft.com/office/drawing/2014/main" id="{2B4F23DF-D1F6-B837-2108-B05181E50A1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264800" y="504825"/>
              <a:ext cx="914400" cy="914400"/>
            </a:xfrm>
            <a:prstGeom prst="rect">
              <a:avLst/>
            </a:prstGeom>
          </xdr:spPr>
        </xdr:pic>
      </xdr:grpSp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FEE1C438-06A8-7214-BDF4-88392D5465A6}"/>
              </a:ext>
            </a:extLst>
          </xdr:cNvPr>
          <xdr:cNvSpPr txBox="1"/>
        </xdr:nvSpPr>
        <xdr:spPr>
          <a:xfrm>
            <a:off x="1314450" y="581025"/>
            <a:ext cx="2950350" cy="571500"/>
          </a:xfrm>
          <a:prstGeom prst="rect">
            <a:avLst/>
          </a:prstGeom>
          <a:noFill/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4"/>
          </a:fontRef>
        </xdr:style>
        <xdr:txBody>
          <a:bodyPr vertOverflow="clip" horzOverflow="clip" wrap="square" rtlCol="0" anchor="t"/>
          <a:lstStyle/>
          <a:p>
            <a:r>
              <a:rPr lang="pt-BR" sz="2400">
                <a:latin typeface="Lucida Calligraphy" panose="03010101010101010101" pitchFamily="66" charset="0"/>
              </a:rPr>
              <a:t>Invest            Funds</a:t>
            </a:r>
          </a:p>
        </xdr:txBody>
      </xdr:sp>
    </xdr:grpSp>
    <xdr:clientData/>
  </xdr:twoCellAnchor>
  <xdr:twoCellAnchor editAs="absolute">
    <xdr:from>
      <xdr:col>3</xdr:col>
      <xdr:colOff>524199</xdr:colOff>
      <xdr:row>31</xdr:row>
      <xdr:rowOff>161926</xdr:rowOff>
    </xdr:from>
    <xdr:to>
      <xdr:col>6</xdr:col>
      <xdr:colOff>0</xdr:colOff>
      <xdr:row>42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2BA376DF-9330-87AC-AEF8-A86C84934C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58074" y="6696076"/>
              <a:ext cx="3552501" cy="2095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814730</xdr:colOff>
      <xdr:row>20</xdr:row>
      <xdr:rowOff>200025</xdr:rowOff>
    </xdr:from>
    <xdr:to>
      <xdr:col>4</xdr:col>
      <xdr:colOff>3120039</xdr:colOff>
      <xdr:row>29</xdr:row>
      <xdr:rowOff>57150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0A48DCE-38E3-3B97-CEFD-E8F7A906D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4</xdr:col>
      <xdr:colOff>417884</xdr:colOff>
      <xdr:row>8</xdr:row>
      <xdr:rowOff>157163</xdr:rowOff>
    </xdr:from>
    <xdr:to>
      <xdr:col>4</xdr:col>
      <xdr:colOff>2678684</xdr:colOff>
      <xdr:row>15</xdr:row>
      <xdr:rowOff>1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B681621A-4FCF-4163-2072-74B66409E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showGridLines="0" showRowColHeaders="0" tabSelected="1" workbookViewId="0">
      <selection activeCell="C18" sqref="C18"/>
    </sheetView>
  </sheetViews>
  <sheetFormatPr defaultColWidth="0" defaultRowHeight="15" x14ac:dyDescent="0.25"/>
  <cols>
    <col min="1" max="1" width="7.7109375" customWidth="1"/>
    <col min="2" max="2" width="35.140625" bestFit="1" customWidth="1"/>
    <col min="3" max="3" width="22.140625" customWidth="1"/>
    <col min="4" max="4" width="12.5703125" customWidth="1"/>
    <col min="5" max="5" width="47.140625" customWidth="1"/>
    <col min="6" max="6" width="1.42578125" customWidth="1"/>
    <col min="7" max="8" width="1.42578125" hidden="1" customWidth="1"/>
    <col min="9" max="16383" width="9.140625" hidden="1"/>
    <col min="16384" max="16384" width="9.140625" hidden="1" customWidth="1"/>
  </cols>
  <sheetData>
    <row r="1" spans="2:3" s="38" customFormat="1" x14ac:dyDescent="0.25"/>
    <row r="2" spans="2:3" s="38" customFormat="1" x14ac:dyDescent="0.25"/>
    <row r="3" spans="2:3" s="38" customFormat="1" x14ac:dyDescent="0.25"/>
    <row r="4" spans="2:3" s="38" customFormat="1" x14ac:dyDescent="0.25"/>
    <row r="5" spans="2:3" s="38" customFormat="1" x14ac:dyDescent="0.25"/>
    <row r="6" spans="2:3" s="38" customFormat="1" x14ac:dyDescent="0.25"/>
    <row r="7" spans="2:3" s="38" customFormat="1" x14ac:dyDescent="0.25"/>
    <row r="8" spans="2:3" s="38" customFormat="1" x14ac:dyDescent="0.25"/>
    <row r="9" spans="2:3" s="39" customFormat="1" ht="15.75" thickBot="1" x14ac:dyDescent="0.3"/>
    <row r="10" spans="2:3" ht="15.75" thickBot="1" x14ac:dyDescent="0.3"/>
    <row r="11" spans="2:3" ht="21" x14ac:dyDescent="0.25">
      <c r="B11" s="9" t="s">
        <v>13</v>
      </c>
      <c r="C11" s="10"/>
    </row>
    <row r="12" spans="2:3" ht="15.75" x14ac:dyDescent="0.25">
      <c r="B12" s="17" t="s">
        <v>14</v>
      </c>
      <c r="C12" s="40">
        <v>1000</v>
      </c>
    </row>
    <row r="13" spans="2:3" ht="15.75" x14ac:dyDescent="0.25">
      <c r="B13" s="17" t="s">
        <v>15</v>
      </c>
      <c r="C13" s="41">
        <v>7.1999999999999998E-3</v>
      </c>
    </row>
    <row r="14" spans="2:3" ht="16.5" thickBot="1" x14ac:dyDescent="0.3">
      <c r="B14" s="18" t="s">
        <v>32</v>
      </c>
      <c r="C14" s="25">
        <f>salario*30%</f>
        <v>300</v>
      </c>
    </row>
    <row r="15" spans="2:3" ht="15.75" thickBot="1" x14ac:dyDescent="0.3"/>
    <row r="16" spans="2:3" ht="26.25" x14ac:dyDescent="0.4">
      <c r="B16" s="2" t="s">
        <v>5</v>
      </c>
      <c r="C16" s="3"/>
    </row>
    <row r="17" spans="1:5" ht="15.75" x14ac:dyDescent="0.25">
      <c r="B17" s="19" t="s">
        <v>0</v>
      </c>
      <c r="C17" s="42">
        <v>250</v>
      </c>
    </row>
    <row r="18" spans="1:5" ht="15.75" x14ac:dyDescent="0.25">
      <c r="B18" s="20" t="s">
        <v>1</v>
      </c>
      <c r="C18" s="43">
        <v>10</v>
      </c>
    </row>
    <row r="19" spans="1:5" ht="15.75" x14ac:dyDescent="0.25">
      <c r="B19" s="20" t="s">
        <v>2</v>
      </c>
      <c r="C19" s="44">
        <v>1.0789999999999999E-2</v>
      </c>
    </row>
    <row r="20" spans="1:5" ht="16.5" thickBot="1" x14ac:dyDescent="0.3">
      <c r="B20" s="21" t="s">
        <v>3</v>
      </c>
      <c r="C20" s="11">
        <f>FV(taxa_mensal,qtde_anos*12,aporte*-1)</f>
        <v>60821.053132543049</v>
      </c>
    </row>
    <row r="21" spans="1:5" ht="16.5" thickBot="1" x14ac:dyDescent="0.3">
      <c r="B21" s="22" t="s">
        <v>4</v>
      </c>
      <c r="C21" s="12">
        <f>patrimonio*rendimento_carteira</f>
        <v>437.91158255430992</v>
      </c>
      <c r="E21" s="37" t="s">
        <v>33</v>
      </c>
    </row>
    <row r="22" spans="1:5" ht="15.75" thickBot="1" x14ac:dyDescent="0.3"/>
    <row r="23" spans="1:5" ht="26.25" x14ac:dyDescent="0.4">
      <c r="B23" s="4" t="s">
        <v>11</v>
      </c>
      <c r="C23" s="5"/>
      <c r="D23" s="6" t="s">
        <v>12</v>
      </c>
    </row>
    <row r="24" spans="1:5" ht="15.75" x14ac:dyDescent="0.25">
      <c r="A24" s="1">
        <v>2</v>
      </c>
      <c r="B24" s="23" t="s">
        <v>6</v>
      </c>
      <c r="C24" s="13">
        <f>FV(taxa_mensal,$A24*12,aporte*-1)</f>
        <v>6806.9068244113041</v>
      </c>
      <c r="D24" s="14">
        <f>C24*rendimento_carteira</f>
        <v>49.00972913576139</v>
      </c>
    </row>
    <row r="25" spans="1:5" ht="15.75" x14ac:dyDescent="0.25">
      <c r="A25" s="1">
        <v>5</v>
      </c>
      <c r="B25" s="23" t="s">
        <v>7</v>
      </c>
      <c r="C25" s="13">
        <f>FV(taxa_mensal,$A25*12,aporte*-1)</f>
        <v>20944.22849962191</v>
      </c>
      <c r="D25" s="14">
        <f>C25*$C$13</f>
        <v>150.79844519727774</v>
      </c>
    </row>
    <row r="26" spans="1:5" ht="15.75" x14ac:dyDescent="0.25">
      <c r="A26" s="1">
        <v>10</v>
      </c>
      <c r="B26" s="23" t="s">
        <v>8</v>
      </c>
      <c r="C26" s="13">
        <f>FV(taxa_mensal,$A26*12,aporte*-1)</f>
        <v>60821.053132543049</v>
      </c>
      <c r="D26" s="14">
        <f>C26*$C$13</f>
        <v>437.91158255430992</v>
      </c>
    </row>
    <row r="27" spans="1:5" ht="15.75" x14ac:dyDescent="0.25">
      <c r="A27" s="1">
        <v>20</v>
      </c>
      <c r="B27" s="23" t="s">
        <v>9</v>
      </c>
      <c r="C27" s="13">
        <f>FV(taxa_mensal,$A27*12,aporte*-1)</f>
        <v>281299.60002427013</v>
      </c>
      <c r="D27" s="14">
        <f>C27*$C$13</f>
        <v>2025.3571201747448</v>
      </c>
    </row>
    <row r="28" spans="1:5" ht="16.5" thickBot="1" x14ac:dyDescent="0.3">
      <c r="A28" s="1">
        <v>30</v>
      </c>
      <c r="B28" s="24" t="s">
        <v>10</v>
      </c>
      <c r="C28" s="15">
        <f>FV(taxa_mensal,$A28*12,aporte*-1)</f>
        <v>1080542.4137511787</v>
      </c>
      <c r="D28" s="16">
        <f>C28*$C$13</f>
        <v>7779.9053790084863</v>
      </c>
    </row>
    <row r="32" spans="1:5" x14ac:dyDescent="0.25">
      <c r="B32" s="26" t="s">
        <v>16</v>
      </c>
      <c r="C32" s="45" t="s">
        <v>27</v>
      </c>
      <c r="D32" s="26"/>
    </row>
    <row r="33" spans="2:4" x14ac:dyDescent="0.25">
      <c r="B33" s="29" t="s">
        <v>17</v>
      </c>
      <c r="C33" s="31">
        <f>aporte</f>
        <v>250</v>
      </c>
      <c r="D33" s="30"/>
    </row>
    <row r="35" spans="2:4" x14ac:dyDescent="0.25">
      <c r="B35" s="27" t="s">
        <v>18</v>
      </c>
      <c r="C35" s="27" t="s">
        <v>19</v>
      </c>
      <c r="D35" s="27" t="s">
        <v>20</v>
      </c>
    </row>
    <row r="36" spans="2:4" x14ac:dyDescent="0.25">
      <c r="B36" s="8" t="s">
        <v>21</v>
      </c>
      <c r="C36" s="7">
        <f>VLOOKUP($C$32&amp;"-"&amp;B36,Planilha1!$A:$D,4,FALSE)</f>
        <v>0.3</v>
      </c>
      <c r="D36" s="32">
        <f>C36*$C$33</f>
        <v>75</v>
      </c>
    </row>
    <row r="37" spans="2:4" x14ac:dyDescent="0.25">
      <c r="B37" s="8" t="s">
        <v>22</v>
      </c>
      <c r="C37" s="7">
        <f>VLOOKUP($C$32&amp;"-"&amp;B37,Planilha1!$A:$D,4,FALSE)</f>
        <v>0.5</v>
      </c>
      <c r="D37" s="32">
        <f t="shared" ref="D37:D41" si="0">C37*$C$33</f>
        <v>125</v>
      </c>
    </row>
    <row r="38" spans="2:4" x14ac:dyDescent="0.25">
      <c r="B38" s="8" t="s">
        <v>23</v>
      </c>
      <c r="C38" s="7">
        <f>VLOOKUP($C$32&amp;"-"&amp;B38,Planilha1!$A:$D,4,FALSE)</f>
        <v>0.1</v>
      </c>
      <c r="D38" s="32">
        <f t="shared" si="0"/>
        <v>25</v>
      </c>
    </row>
    <row r="39" spans="2:4" x14ac:dyDescent="0.25">
      <c r="B39" s="8" t="s">
        <v>24</v>
      </c>
      <c r="C39" s="7">
        <f>VLOOKUP($C$32&amp;"-"&amp;B39,Planilha1!$A:$D,4,FALSE)</f>
        <v>0.1</v>
      </c>
      <c r="D39" s="32">
        <f t="shared" si="0"/>
        <v>25</v>
      </c>
    </row>
    <row r="40" spans="2:4" x14ac:dyDescent="0.25">
      <c r="B40" s="8" t="s">
        <v>25</v>
      </c>
      <c r="C40" s="7">
        <f>VLOOKUP($C$32&amp;"-"&amp;B40,Planilha1!$A:$D,4,FALSE)</f>
        <v>0</v>
      </c>
      <c r="D40" s="32">
        <f t="shared" si="0"/>
        <v>0</v>
      </c>
    </row>
    <row r="41" spans="2:4" x14ac:dyDescent="0.25">
      <c r="B41" s="8" t="s">
        <v>26</v>
      </c>
      <c r="C41" s="7">
        <f>VLOOKUP($C$32&amp;"-"&amp;B41,Planilha1!$A:$D,4,FALSE)</f>
        <v>0</v>
      </c>
      <c r="D41" s="32">
        <f t="shared" si="0"/>
        <v>0</v>
      </c>
    </row>
    <row r="42" spans="2:4" x14ac:dyDescent="0.25">
      <c r="B42" s="27"/>
      <c r="C42" s="27"/>
      <c r="D42" s="28">
        <f>SUM(D36:D41)</f>
        <v>250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</sheetData>
  <sheetProtection sheet="1" objects="1" scenarios="1"/>
  <mergeCells count="3">
    <mergeCell ref="B16:C16"/>
    <mergeCell ref="B23:C23"/>
    <mergeCell ref="B11:C11"/>
  </mergeCells>
  <dataValidations disablePrompts="1" count="1">
    <dataValidation type="list" allowBlank="1" showInputMessage="1" showErrorMessage="1" sqref="C32" xr:uid="{1D371B51-9E89-4A7C-A4C4-20E54593FD92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7414-9CBE-4593-882D-957D71EA9337}">
  <dimension ref="A3:D21"/>
  <sheetViews>
    <sheetView workbookViewId="0">
      <selection activeCell="D27" sqref="D27"/>
    </sheetView>
  </sheetViews>
  <sheetFormatPr defaultRowHeight="15" x14ac:dyDescent="0.25"/>
  <cols>
    <col min="1" max="1" width="18.5703125" bestFit="1" customWidth="1"/>
    <col min="2" max="2" width="12.140625" bestFit="1" customWidth="1"/>
    <col min="3" max="3" width="19" bestFit="1" customWidth="1"/>
    <col min="4" max="4" width="10.7109375" bestFit="1" customWidth="1"/>
  </cols>
  <sheetData>
    <row r="3" spans="1:4" x14ac:dyDescent="0.25">
      <c r="A3" s="36" t="s">
        <v>30</v>
      </c>
      <c r="B3" s="36" t="s">
        <v>31</v>
      </c>
      <c r="C3" s="36" t="s">
        <v>18</v>
      </c>
      <c r="D3" s="36" t="s">
        <v>19</v>
      </c>
    </row>
    <row r="4" spans="1:4" x14ac:dyDescent="0.25">
      <c r="A4" t="str">
        <f>B4&amp;"-"&amp;C4</f>
        <v>Conservador-PAPEL</v>
      </c>
      <c r="B4" t="s">
        <v>27</v>
      </c>
      <c r="C4" t="s">
        <v>21</v>
      </c>
      <c r="D4" s="33">
        <v>0.3</v>
      </c>
    </row>
    <row r="5" spans="1:4" x14ac:dyDescent="0.25">
      <c r="A5" t="str">
        <f t="shared" ref="A5:A21" si="0">B5&amp;"-"&amp;C5</f>
        <v>Conservador-TIJOLO</v>
      </c>
      <c r="B5" t="s">
        <v>27</v>
      </c>
      <c r="C5" t="s">
        <v>22</v>
      </c>
      <c r="D5" s="33">
        <v>0.5</v>
      </c>
    </row>
    <row r="6" spans="1:4" x14ac:dyDescent="0.25">
      <c r="A6" t="str">
        <f t="shared" si="0"/>
        <v>Conservador-HÍBRIDOS</v>
      </c>
      <c r="B6" t="s">
        <v>27</v>
      </c>
      <c r="C6" t="s">
        <v>23</v>
      </c>
      <c r="D6" s="33">
        <v>0.1</v>
      </c>
    </row>
    <row r="7" spans="1:4" x14ac:dyDescent="0.25">
      <c r="A7" t="str">
        <f t="shared" si="0"/>
        <v>Conservador-FOFs</v>
      </c>
      <c r="B7" t="s">
        <v>27</v>
      </c>
      <c r="C7" t="s">
        <v>24</v>
      </c>
      <c r="D7" s="33">
        <v>0.1</v>
      </c>
    </row>
    <row r="8" spans="1:4" x14ac:dyDescent="0.25">
      <c r="A8" t="str">
        <f t="shared" si="0"/>
        <v>Conservador-DESENVOLVIMENTO</v>
      </c>
      <c r="B8" t="s">
        <v>27</v>
      </c>
      <c r="C8" t="s">
        <v>25</v>
      </c>
      <c r="D8" s="33">
        <v>0</v>
      </c>
    </row>
    <row r="9" spans="1:4" ht="15.75" thickBot="1" x14ac:dyDescent="0.3">
      <c r="A9" s="34" t="str">
        <f t="shared" si="0"/>
        <v>Conservador-HOTELARIA</v>
      </c>
      <c r="B9" s="34" t="s">
        <v>27</v>
      </c>
      <c r="C9" s="34" t="s">
        <v>26</v>
      </c>
      <c r="D9" s="35">
        <v>0</v>
      </c>
    </row>
    <row r="10" spans="1:4" x14ac:dyDescent="0.25">
      <c r="A10" t="str">
        <f t="shared" si="0"/>
        <v>Moderado-PAPEL</v>
      </c>
      <c r="B10" t="s">
        <v>28</v>
      </c>
      <c r="C10" t="s">
        <v>21</v>
      </c>
      <c r="D10" s="33">
        <v>0.32</v>
      </c>
    </row>
    <row r="11" spans="1:4" x14ac:dyDescent="0.25">
      <c r="A11" t="str">
        <f t="shared" si="0"/>
        <v>Moderado-TIJOLO</v>
      </c>
      <c r="B11" t="s">
        <v>28</v>
      </c>
      <c r="C11" t="s">
        <v>22</v>
      </c>
      <c r="D11" s="33">
        <v>0.4</v>
      </c>
    </row>
    <row r="12" spans="1:4" x14ac:dyDescent="0.25">
      <c r="A12" t="str">
        <f t="shared" si="0"/>
        <v>Moderado-HÍBRIDOS</v>
      </c>
      <c r="B12" t="s">
        <v>28</v>
      </c>
      <c r="C12" t="s">
        <v>23</v>
      </c>
      <c r="D12" s="33">
        <v>0.08</v>
      </c>
    </row>
    <row r="13" spans="1:4" x14ac:dyDescent="0.25">
      <c r="A13" t="str">
        <f t="shared" si="0"/>
        <v>Moderado-FOFs</v>
      </c>
      <c r="B13" t="s">
        <v>28</v>
      </c>
      <c r="C13" t="s">
        <v>24</v>
      </c>
      <c r="D13" s="33">
        <v>0.1</v>
      </c>
    </row>
    <row r="14" spans="1:4" x14ac:dyDescent="0.25">
      <c r="A14" t="str">
        <f t="shared" si="0"/>
        <v>Moderado-DESENVOLVIMENTO</v>
      </c>
      <c r="B14" t="s">
        <v>28</v>
      </c>
      <c r="C14" t="s">
        <v>25</v>
      </c>
      <c r="D14" s="33">
        <v>0.1</v>
      </c>
    </row>
    <row r="15" spans="1:4" ht="15.75" thickBot="1" x14ac:dyDescent="0.3">
      <c r="A15" s="34" t="str">
        <f t="shared" si="0"/>
        <v>Moderado-HOTELARIA</v>
      </c>
      <c r="B15" s="34" t="s">
        <v>28</v>
      </c>
      <c r="C15" s="34" t="s">
        <v>26</v>
      </c>
      <c r="D15" s="35">
        <v>0</v>
      </c>
    </row>
    <row r="16" spans="1:4" x14ac:dyDescent="0.25">
      <c r="A16" t="str">
        <f t="shared" si="0"/>
        <v>Agressivo-PAPEL</v>
      </c>
      <c r="B16" t="s">
        <v>29</v>
      </c>
      <c r="C16" t="s">
        <v>21</v>
      </c>
      <c r="D16" s="33">
        <v>0.5</v>
      </c>
    </row>
    <row r="17" spans="1:4" x14ac:dyDescent="0.25">
      <c r="A17" t="str">
        <f t="shared" si="0"/>
        <v>Agressivo-TIJOLO</v>
      </c>
      <c r="B17" t="s">
        <v>29</v>
      </c>
      <c r="C17" t="s">
        <v>22</v>
      </c>
      <c r="D17" s="33">
        <v>0.1</v>
      </c>
    </row>
    <row r="18" spans="1:4" x14ac:dyDescent="0.25">
      <c r="A18" t="str">
        <f t="shared" si="0"/>
        <v>Agressivo-HÍBRIDOS</v>
      </c>
      <c r="B18" t="s">
        <v>29</v>
      </c>
      <c r="C18" t="s">
        <v>23</v>
      </c>
      <c r="D18" s="33">
        <v>0.05</v>
      </c>
    </row>
    <row r="19" spans="1:4" x14ac:dyDescent="0.25">
      <c r="A19" t="str">
        <f t="shared" si="0"/>
        <v>Agressivo-FOFs</v>
      </c>
      <c r="B19" t="s">
        <v>29</v>
      </c>
      <c r="C19" t="s">
        <v>24</v>
      </c>
      <c r="D19" s="33">
        <v>0.05</v>
      </c>
    </row>
    <row r="20" spans="1:4" x14ac:dyDescent="0.25">
      <c r="A20" t="str">
        <f t="shared" si="0"/>
        <v>Agressivo-DESENVOLVIMENTO</v>
      </c>
      <c r="B20" t="s">
        <v>29</v>
      </c>
      <c r="C20" t="s">
        <v>25</v>
      </c>
      <c r="D20" s="33">
        <v>0.2</v>
      </c>
    </row>
    <row r="21" spans="1:4" x14ac:dyDescent="0.25">
      <c r="A21" t="str">
        <f t="shared" si="0"/>
        <v>Agressivo-HOTELARIA</v>
      </c>
      <c r="B21" t="s">
        <v>29</v>
      </c>
      <c r="C21" t="s">
        <v>26</v>
      </c>
      <c r="D21" s="3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Plan1</vt:lpstr>
      <vt:lpstr>Planilha1</vt:lpstr>
      <vt:lpstr>aporte</vt:lpstr>
      <vt:lpstr>patrimonio</vt:lpstr>
      <vt:lpstr>qtde_anos</vt:lpstr>
      <vt:lpstr>rendimento_carteira</vt:lpstr>
      <vt:lpstr>salario</vt:lpstr>
      <vt:lpstr>sugestao_investismento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Alini Castro Sousa</dc:creator>
  <cp:lastModifiedBy>Alini Castro Sousa</cp:lastModifiedBy>
  <dcterms:created xsi:type="dcterms:W3CDTF">2015-06-05T18:19:34Z</dcterms:created>
  <dcterms:modified xsi:type="dcterms:W3CDTF">2026-02-09T23:24:25Z</dcterms:modified>
</cp:coreProperties>
</file>